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efb675c628ce842d/文档/"/>
    </mc:Choice>
  </mc:AlternateContent>
  <xr:revisionPtr revIDLastSave="0" documentId="8_{BA49BA44-D39D-4ABD-8D83-B337949CC49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Purchase Request" sheetId="2" r:id="rId1"/>
    <sheet name="Admin-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G3" i="2"/>
  <c r="I3" i="2" s="1"/>
  <c r="I2" i="2"/>
  <c r="I17" i="2" s="1"/>
</calcChain>
</file>

<file path=xl/sharedStrings.xml><?xml version="1.0" encoding="utf-8"?>
<sst xmlns="http://schemas.openxmlformats.org/spreadsheetml/2006/main" count="45" uniqueCount="37">
  <si>
    <t>Item</t>
  </si>
  <si>
    <t>Vendor Name</t>
  </si>
  <si>
    <t>Vendor Part Number</t>
  </si>
  <si>
    <t>Item Description</t>
  </si>
  <si>
    <t>Currency (eg, USD, AUD, Euro)</t>
  </si>
  <si>
    <t>Unit Price (Vendor Currency)</t>
  </si>
  <si>
    <t>Exchange Rate</t>
  </si>
  <si>
    <t>Quantity</t>
  </si>
  <si>
    <t>Total Price (NZD)</t>
  </si>
  <si>
    <t>In Stock</t>
  </si>
  <si>
    <t>Estimated Delivery Time</t>
  </si>
  <si>
    <t>Team Name</t>
  </si>
  <si>
    <t>Link</t>
  </si>
  <si>
    <t>Digikey NZ</t>
  </si>
  <si>
    <t>1738-SEN0503-ND</t>
  </si>
  <si>
    <t>SEN0503 IR break beam sensor</t>
  </si>
  <si>
    <t>NZD</t>
  </si>
  <si>
    <t>Yes</t>
  </si>
  <si>
    <t>2WK</t>
  </si>
  <si>
    <t>dc-p1-team04-2026</t>
  </si>
  <si>
    <t>Digikey IR break beam sensor</t>
  </si>
  <si>
    <t>433-1028-ND</t>
  </si>
  <si>
    <t>WT-1205 buzzer</t>
  </si>
  <si>
    <t>buzzer</t>
  </si>
  <si>
    <t>Total (NZD)</t>
  </si>
  <si>
    <t>Suppliers</t>
  </si>
  <si>
    <t>Element14 NZ</t>
  </si>
  <si>
    <t>Jaycar NZ</t>
  </si>
  <si>
    <t>RS Comp NZ</t>
  </si>
  <si>
    <t>AliExpress</t>
  </si>
  <si>
    <t>Ebay</t>
  </si>
  <si>
    <t>Amazon AU</t>
  </si>
  <si>
    <t>Currency</t>
  </si>
  <si>
    <t>AUD</t>
  </si>
  <si>
    <t>USD</t>
  </si>
  <si>
    <t>EUR</t>
  </si>
  <si>
    <t>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</si>
</sst>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6">
    <font>
      <sz val="10"/>
      <name val="Arial"/>
      <charset val="134"/>
    </font>
    <font>
      <b/>
      <sz val="10"/>
      <name val="Arial"/>
      <family val="2"/>
    </font>
    <font>
      <u/>
      <sz val="10"/>
      <color rgb="FF80008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3" fontId="0" fillId="0" borderId="5" xfId="0" applyNumberForma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9" xfId="0" applyFont="1" applyBorder="1" applyAlignment="1">
      <alignment horizontal="center" textRotation="90" wrapText="1"/>
    </xf>
    <xf numFmtId="0" fontId="2" fillId="0" borderId="10" xfId="1" applyFont="1" applyBorder="1" applyAlignment="1" applyProtection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5" fontId="1" fillId="0" borderId="2" xfId="0" applyNumberFormat="1" applyFont="1" applyBorder="1"/>
    <xf numFmtId="0" fontId="4" fillId="0" borderId="5" xfId="0" applyFont="1" applyBorder="1" applyAlignment="1">
      <alignment horizontal="left" vertical="center" wrapText="1"/>
    </xf>
    <xf numFmtId="0" fontId="4" fillId="0" borderId="5" xfId="0" applyNumberFormat="1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5">
    <cellStyle name="Currency 2" xfId="2" xr:uid="{00000000-0005-0000-0000-000031000000}"/>
    <cellStyle name="Currency 3" xfId="3" xr:uid="{00000000-0005-0000-0000-000032000000}"/>
    <cellStyle name="Hyperlink" xfId="1" builtinId="8"/>
    <cellStyle name="Hyperlink 2" xfId="4" xr:uid="{00000000-0005-0000-0000-000033000000}"/>
    <cellStyle name="Normal" xfId="0" builtinId="0"/>
  </cellStyles>
  <dxfs count="13"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thick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numFmt numFmtId="0" formatCode="General"/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numFmt numFmtId="0" formatCode="General"/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trike val="0"/>
        <u val="none"/>
        <sz val="10"/>
        <color auto="1"/>
        <name val="Arial"/>
        <family val="2"/>
        <scheme val="none"/>
      </font>
      <alignment horizontal="left" vertical="center" wrapText="1"/>
      <border>
        <left style="thick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40</xdr:row>
      <xdr:rowOff>104775</xdr:rowOff>
    </xdr:from>
    <xdr:to>
      <xdr:col>12</xdr:col>
      <xdr:colOff>9525</xdr:colOff>
      <xdr:row>73</xdr:row>
      <xdr:rowOff>19050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95375" y="11249025"/>
          <a:ext cx="11649075" cy="525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 u="sng">
              <a:solidFill>
                <a:schemeClr val="dk1"/>
              </a:solidFill>
              <a:latin typeface="+mn-lt"/>
              <a:ea typeface="+mn-lt"/>
              <a:cs typeface="+mn-lt"/>
            </a:rPr>
            <a:t>Project Brief:</a:t>
          </a:r>
          <a:endParaRPr lang="en-US" sz="1100" b="0" u="non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/>
          <a:r>
            <a:rPr lang="en-US" sz="1100" b="0" u="none">
              <a:solidFill>
                <a:schemeClr val="dk1"/>
              </a:solidFill>
              <a:latin typeface="+mn-lt"/>
              <a:ea typeface="+mn-lt"/>
              <a:cs typeface="+mn-lt"/>
            </a:rPr>
            <a:t>As the theme is arcade, we decided to make an arcade style basketball game. This will involve a small field with 5 mini basketball hoops, and the player would have to throw a ball (probably a ping pong ball or a similar lightweight ball) into as many hoops as they can in the given time. The time for a round will be displayed, and different hoops will vary in difficulty whether that is the distance from the player, or a rotating hoop (using servos). We hope to add difficulties that the player can select, and keep track of different players' scores on a global leaderboard on a webpage. The time limit and the score will be shown on a display screen for the player to view. A rough concept design is shown below. If we have extra time in the end we plan to integrate AI that will say random catch phrases during the game.</a:t>
          </a:r>
        </a:p>
        <a:p>
          <a:pPr marL="0" indent="0"/>
          <a:endParaRPr lang="en-US" sz="1100" b="0" u="non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1</xdr:col>
      <xdr:colOff>838200</xdr:colOff>
      <xdr:row>48</xdr:row>
      <xdr:rowOff>95250</xdr:rowOff>
    </xdr:from>
    <xdr:to>
      <xdr:col>3</xdr:col>
      <xdr:colOff>1200150</xdr:colOff>
      <xdr:row>71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38BDC-C0CB-F995-DFC6-60F0F7610B74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" y="12534900"/>
          <a:ext cx="3381375" cy="3657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16" totalsRowShown="0">
  <autoFilter ref="A1:M16" xr:uid="{00000000-0009-0000-0100-000003000000}"/>
  <tableColumns count="13">
    <tableColumn id="1" xr3:uid="{00000000-0010-0000-0000-000001000000}" name="Item" dataDxfId="12"/>
    <tableColumn id="2" xr3:uid="{00000000-0010-0000-0000-000002000000}" name="Vendor Name" dataDxfId="11"/>
    <tableColumn id="3" xr3:uid="{00000000-0010-0000-0000-000003000000}" name="Vendor Part Number" dataDxfId="10"/>
    <tableColumn id="4" xr3:uid="{00000000-0010-0000-0000-000004000000}" name="Item Description" dataDxfId="9"/>
    <tableColumn id="5" xr3:uid="{00000000-0010-0000-0000-000005000000}" name="Currency (eg, USD, AUD, Euro)" dataDxfId="8"/>
    <tableColumn id="6" xr3:uid="{00000000-0010-0000-0000-000006000000}" name="Unit Price (Vendor Currency)" dataDxfId="7"/>
    <tableColumn id="7" xr3:uid="{00000000-0010-0000-0000-000007000000}" name="Exchange Rate" dataDxfId="6">
      <calculatedColumnFormula>_xlfn.XLOOKUP(Table3[[#This Row],[Currency (eg, USD, AUD, Euro)]],'Admin-Data'!$A$11:$A$15,'Admin-Data'!$B$11:$B$15,0)</calculatedColumnFormula>
    </tableColumn>
    <tableColumn id="8" xr3:uid="{00000000-0010-0000-0000-000008000000}" name="Quantity" dataDxfId="5"/>
    <tableColumn id="9" xr3:uid="{00000000-0010-0000-0000-000009000000}" name="Total Price (NZD)" dataDxfId="4">
      <calculatedColumnFormula>Table3[[#This Row],[Unit Price (Vendor Currency)]]*Table3[[#This Row],[Exchange Rate]]*Table3[[#This Row],[Quantity]]</calculatedColumnFormula>
    </tableColumn>
    <tableColumn id="10" xr3:uid="{00000000-0010-0000-0000-00000A000000}" name="In Stock" dataDxfId="3"/>
    <tableColumn id="11" xr3:uid="{00000000-0010-0000-0000-00000B000000}" name="Estimated Delivery Time" dataDxfId="2"/>
    <tableColumn id="12" xr3:uid="{00000000-0010-0000-0000-00000C000000}" name="Team Name" dataDxfId="1"/>
    <tableColumn id="13" xr3:uid="{00000000-0010-0000-0000-00000D000000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digikey.co.nz/en/products/detail/soberton-inc/WT-1205/479674" TargetMode="External"/><Relationship Id="rId1" Type="http://schemas.openxmlformats.org/officeDocument/2006/relationships/hyperlink" Target="https://www.digikey.co.nz/en/products/detail/dfrobot/SEN0503/15283061?s=N4IgTCBcDaIJICUAEAjATgUwIYGtXYFskBnDAO2IHs0QBdAXyA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3"/>
  <sheetViews>
    <sheetView tabSelected="1" workbookViewId="0">
      <pane xSplit="1" ySplit="1" topLeftCell="B2" activePane="bottomRight" state="frozen"/>
      <selection pane="bottomRight" activeCell="K2" sqref="K2"/>
      <selection pane="bottomLeft"/>
      <selection pane="topRight"/>
    </sheetView>
  </sheetViews>
  <sheetFormatPr defaultColWidth="8.7109375" defaultRowHeight="12.75"/>
  <cols>
    <col min="1" max="1" width="5.28515625" customWidth="1"/>
    <col min="2" max="2" width="18.7109375" customWidth="1"/>
    <col min="3" max="3" width="26.5703125" customWidth="1"/>
    <col min="4" max="4" width="33.42578125" customWidth="1"/>
    <col min="5" max="5" width="11.7109375" customWidth="1"/>
    <col min="6" max="6" width="11.7109375" style="2" customWidth="1"/>
    <col min="7" max="11" width="11.7109375" customWidth="1"/>
    <col min="12" max="12" width="25" customWidth="1"/>
    <col min="13" max="13" width="32.7109375" customWidth="1"/>
  </cols>
  <sheetData>
    <row r="1" spans="1:13" ht="65.650000000000006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0" t="s">
        <v>12</v>
      </c>
    </row>
    <row r="2" spans="1:13" ht="25.15" customHeight="1">
      <c r="A2" s="5">
        <v>1</v>
      </c>
      <c r="B2" s="6" t="s">
        <v>13</v>
      </c>
      <c r="C2" s="7" t="s">
        <v>14</v>
      </c>
      <c r="D2" s="7" t="s">
        <v>15</v>
      </c>
      <c r="E2" s="7" t="s">
        <v>16</v>
      </c>
      <c r="F2" s="8">
        <v>9.4529999999999994</v>
      </c>
      <c r="G2" s="7">
        <v>1</v>
      </c>
      <c r="H2" s="7">
        <v>5</v>
      </c>
      <c r="I2" s="7">
        <f>Table3[[#This Row],[Unit Price (Vendor Currency)]]*Table3[[#This Row],[Exchange Rate]]*Table3[[#This Row],[Quantity]]</f>
        <v>47.265000000000001</v>
      </c>
      <c r="J2" s="7" t="s">
        <v>17</v>
      </c>
      <c r="K2" s="7" t="s">
        <v>18</v>
      </c>
      <c r="L2" s="7" t="s">
        <v>19</v>
      </c>
      <c r="M2" s="11" t="s">
        <v>20</v>
      </c>
    </row>
    <row r="3" spans="1:13" ht="25.15" customHeight="1">
      <c r="A3" s="5">
        <v>2</v>
      </c>
      <c r="B3" s="6" t="s">
        <v>13</v>
      </c>
      <c r="C3" s="7" t="s">
        <v>21</v>
      </c>
      <c r="D3" s="7" t="s">
        <v>22</v>
      </c>
      <c r="E3" s="7" t="s">
        <v>16</v>
      </c>
      <c r="F3" s="7">
        <v>1.4490000000000001</v>
      </c>
      <c r="G3" s="7">
        <f>_xlfn.XLOOKUP(Table3[[#This Row],[Currency (eg, USD, AUD, Euro)]],'Admin-Data'!$A$11:$A$15,'Admin-Data'!$B$11:$B$15,0)</f>
        <v>1</v>
      </c>
      <c r="H3" s="7">
        <v>1</v>
      </c>
      <c r="I3" s="7">
        <f>Table3[[#This Row],[Unit Price (Vendor Currency)]]*Table3[[#This Row],[Exchange Rate]]*Table3[[#This Row],[Quantity]]</f>
        <v>1.4490000000000001</v>
      </c>
      <c r="J3" s="7" t="s">
        <v>17</v>
      </c>
      <c r="K3" s="7" t="s">
        <v>18</v>
      </c>
      <c r="L3" s="7" t="s">
        <v>19</v>
      </c>
      <c r="M3" s="11" t="s">
        <v>23</v>
      </c>
    </row>
    <row r="4" spans="1:13" ht="25.15" customHeight="1">
      <c r="A4" s="5">
        <v>3</v>
      </c>
      <c r="B4" s="6"/>
      <c r="C4" s="7"/>
      <c r="D4" s="7"/>
      <c r="E4" s="7"/>
      <c r="F4" s="7"/>
      <c r="G4" s="7">
        <v>0</v>
      </c>
      <c r="H4" s="7"/>
      <c r="I4" s="7">
        <v>0</v>
      </c>
      <c r="J4" s="7"/>
      <c r="K4" s="7"/>
      <c r="L4" s="7"/>
      <c r="M4" s="11"/>
    </row>
    <row r="5" spans="1:13" ht="25.15" customHeight="1">
      <c r="A5" s="5">
        <v>6</v>
      </c>
      <c r="B5" s="14"/>
      <c r="C5" s="14"/>
      <c r="D5" s="14"/>
      <c r="E5" s="14"/>
      <c r="F5" s="14"/>
      <c r="G5" s="15">
        <v>0</v>
      </c>
      <c r="H5" s="14"/>
      <c r="I5" s="15">
        <v>0</v>
      </c>
      <c r="J5" s="14"/>
      <c r="K5" s="14"/>
      <c r="L5" s="14"/>
      <c r="M5" s="16"/>
    </row>
    <row r="6" spans="1:13" ht="25.15" customHeight="1">
      <c r="A6" s="5">
        <v>10</v>
      </c>
      <c r="B6" s="7"/>
      <c r="C6" s="7"/>
      <c r="D6" s="7"/>
      <c r="E6" s="7"/>
      <c r="F6" s="7"/>
      <c r="G6" s="7">
        <f>_xlfn.XLOOKUP(Table3[[#This Row],[Currency (eg, USD, AUD, Euro)]],'Admin-Data'!$A$11:$A$15,'Admin-Data'!$B$11:$B$15,0)</f>
        <v>0</v>
      </c>
      <c r="H6" s="7"/>
      <c r="I6" s="7">
        <f>Table3[[#This Row],[Unit Price (Vendor Currency)]]*Table3[[#This Row],[Exchange Rate]]*Table3[[#This Row],[Quantity]]</f>
        <v>0</v>
      </c>
      <c r="J6" s="7"/>
      <c r="K6" s="7"/>
      <c r="L6" s="7"/>
      <c r="M6" s="12"/>
    </row>
    <row r="7" spans="1:13" ht="25.15" customHeight="1">
      <c r="A7" s="5">
        <v>11</v>
      </c>
      <c r="B7" s="7"/>
      <c r="C7" s="7"/>
      <c r="D7" s="7"/>
      <c r="E7" s="7"/>
      <c r="F7" s="7"/>
      <c r="G7" s="7">
        <f>_xlfn.XLOOKUP(Table3[[#This Row],[Currency (eg, USD, AUD, Euro)]],'Admin-Data'!$A$11:$A$15,'Admin-Data'!$B$11:$B$15,0)</f>
        <v>0</v>
      </c>
      <c r="H7" s="7"/>
      <c r="I7" s="7">
        <f>Table3[[#This Row],[Unit Price (Vendor Currency)]]*Table3[[#This Row],[Exchange Rate]]*Table3[[#This Row],[Quantity]]</f>
        <v>0</v>
      </c>
      <c r="J7" s="7"/>
      <c r="K7" s="7"/>
      <c r="L7" s="7"/>
      <c r="M7" s="12"/>
    </row>
    <row r="8" spans="1:13" ht="25.15" customHeight="1">
      <c r="A8" s="5">
        <v>12</v>
      </c>
      <c r="B8" s="7"/>
      <c r="C8" s="7"/>
      <c r="D8" s="7"/>
      <c r="E8" s="7"/>
      <c r="F8" s="7"/>
      <c r="G8" s="7">
        <f>_xlfn.XLOOKUP(Table3[[#This Row],[Currency (eg, USD, AUD, Euro)]],'Admin-Data'!$A$11:$A$15,'Admin-Data'!$B$11:$B$15,0)</f>
        <v>0</v>
      </c>
      <c r="H8" s="7"/>
      <c r="I8" s="7">
        <f>Table3[[#This Row],[Unit Price (Vendor Currency)]]*Table3[[#This Row],[Exchange Rate]]*Table3[[#This Row],[Quantity]]</f>
        <v>0</v>
      </c>
      <c r="J8" s="7"/>
      <c r="K8" s="7"/>
      <c r="L8" s="7"/>
      <c r="M8" s="12"/>
    </row>
    <row r="9" spans="1:13" ht="25.15" customHeight="1">
      <c r="A9" s="5">
        <v>13</v>
      </c>
      <c r="B9" s="7"/>
      <c r="C9" s="7"/>
      <c r="D9" s="7"/>
      <c r="E9" s="7"/>
      <c r="F9" s="7"/>
      <c r="G9" s="7">
        <f>_xlfn.XLOOKUP(Table3[[#This Row],[Currency (eg, USD, AUD, Euro)]],'Admin-Data'!$A$11:$A$15,'Admin-Data'!$B$11:$B$15,0)</f>
        <v>0</v>
      </c>
      <c r="H9" s="7"/>
      <c r="I9" s="7">
        <f>Table3[[#This Row],[Unit Price (Vendor Currency)]]*Table3[[#This Row],[Exchange Rate]]*Table3[[#This Row],[Quantity]]</f>
        <v>0</v>
      </c>
      <c r="J9" s="7"/>
      <c r="K9" s="7"/>
      <c r="L9" s="7"/>
      <c r="M9" s="12"/>
    </row>
    <row r="10" spans="1:13" ht="25.15" customHeight="1">
      <c r="A10" s="5">
        <v>14</v>
      </c>
      <c r="B10" s="7"/>
      <c r="C10" s="7"/>
      <c r="D10" s="7"/>
      <c r="E10" s="7"/>
      <c r="F10" s="7"/>
      <c r="G10" s="7">
        <f>_xlfn.XLOOKUP(Table3[[#This Row],[Currency (eg, USD, AUD, Euro)]],'Admin-Data'!$A$11:$A$15,'Admin-Data'!$B$11:$B$15,0)</f>
        <v>0</v>
      </c>
      <c r="H10" s="7"/>
      <c r="I10" s="7">
        <f>Table3[[#This Row],[Unit Price (Vendor Currency)]]*Table3[[#This Row],[Exchange Rate]]*Table3[[#This Row],[Quantity]]</f>
        <v>0</v>
      </c>
      <c r="J10" s="7"/>
      <c r="K10" s="7"/>
      <c r="L10" s="7"/>
      <c r="M10" s="12"/>
    </row>
    <row r="11" spans="1:13" ht="25.15" customHeight="1">
      <c r="A11" s="5">
        <v>15</v>
      </c>
      <c r="B11" s="7"/>
      <c r="C11" s="7"/>
      <c r="D11" s="7"/>
      <c r="E11" s="7"/>
      <c r="F11" s="7"/>
      <c r="G11" s="7">
        <f>_xlfn.XLOOKUP(Table3[[#This Row],[Currency (eg, USD, AUD, Euro)]],'Admin-Data'!$A$11:$A$15,'Admin-Data'!$B$11:$B$15,0)</f>
        <v>0</v>
      </c>
      <c r="H11" s="7"/>
      <c r="I11" s="7">
        <f>Table3[[#This Row],[Unit Price (Vendor Currency)]]*Table3[[#This Row],[Exchange Rate]]*Table3[[#This Row],[Quantity]]</f>
        <v>0</v>
      </c>
      <c r="J11" s="7"/>
      <c r="K11" s="7"/>
      <c r="L11" s="7"/>
      <c r="M11" s="12"/>
    </row>
    <row r="12" spans="1:13" ht="25.15" customHeight="1">
      <c r="A12" s="5">
        <v>16</v>
      </c>
      <c r="B12" s="7"/>
      <c r="C12" s="7"/>
      <c r="D12" s="7"/>
      <c r="E12" s="7"/>
      <c r="F12" s="7"/>
      <c r="G12" s="7">
        <f>_xlfn.XLOOKUP(Table3[[#This Row],[Currency (eg, USD, AUD, Euro)]],'Admin-Data'!$A$11:$A$15,'Admin-Data'!$B$11:$B$15,0)</f>
        <v>0</v>
      </c>
      <c r="H12" s="7"/>
      <c r="I12" s="7">
        <f>Table3[[#This Row],[Unit Price (Vendor Currency)]]*Table3[[#This Row],[Exchange Rate]]*Table3[[#This Row],[Quantity]]</f>
        <v>0</v>
      </c>
      <c r="J12" s="7"/>
      <c r="K12" s="7"/>
      <c r="L12" s="7"/>
      <c r="M12" s="12"/>
    </row>
    <row r="13" spans="1:13" ht="25.15" customHeight="1">
      <c r="A13" s="5">
        <v>17</v>
      </c>
      <c r="B13" s="7"/>
      <c r="C13" s="7"/>
      <c r="D13" s="7"/>
      <c r="E13" s="7"/>
      <c r="F13" s="7"/>
      <c r="G13" s="7">
        <f>_xlfn.XLOOKUP(Table3[[#This Row],[Currency (eg, USD, AUD, Euro)]],'Admin-Data'!$A$11:$A$15,'Admin-Data'!$B$11:$B$15,0)</f>
        <v>0</v>
      </c>
      <c r="H13" s="7"/>
      <c r="I13" s="7">
        <f>Table3[[#This Row],[Unit Price (Vendor Currency)]]*Table3[[#This Row],[Exchange Rate]]*Table3[[#This Row],[Quantity]]</f>
        <v>0</v>
      </c>
      <c r="J13" s="7"/>
      <c r="K13" s="7"/>
      <c r="L13" s="7"/>
      <c r="M13" s="12"/>
    </row>
    <row r="14" spans="1:13" ht="25.15" customHeight="1">
      <c r="A14" s="5">
        <v>18</v>
      </c>
      <c r="B14" s="7"/>
      <c r="C14" s="7"/>
      <c r="D14" s="7"/>
      <c r="E14" s="7"/>
      <c r="F14" s="7"/>
      <c r="G14" s="7">
        <f>_xlfn.XLOOKUP(Table3[[#This Row],[Currency (eg, USD, AUD, Euro)]],'Admin-Data'!$A$11:$A$15,'Admin-Data'!$B$11:$B$15,0)</f>
        <v>0</v>
      </c>
      <c r="H14" s="7"/>
      <c r="I14" s="7">
        <f>Table3[[#This Row],[Unit Price (Vendor Currency)]]*Table3[[#This Row],[Exchange Rate]]*Table3[[#This Row],[Quantity]]</f>
        <v>0</v>
      </c>
      <c r="J14" s="7"/>
      <c r="K14" s="7"/>
      <c r="L14" s="7"/>
      <c r="M14" s="12"/>
    </row>
    <row r="15" spans="1:13" ht="25.15" customHeight="1">
      <c r="A15" s="5">
        <v>19</v>
      </c>
      <c r="B15" s="7"/>
      <c r="C15" s="7"/>
      <c r="D15" s="7"/>
      <c r="E15" s="7"/>
      <c r="F15" s="7"/>
      <c r="G15" s="7">
        <f>_xlfn.XLOOKUP(Table3[[#This Row],[Currency (eg, USD, AUD, Euro)]],'Admin-Data'!$A$11:$A$15,'Admin-Data'!$B$11:$B$15,0)</f>
        <v>0</v>
      </c>
      <c r="H15" s="7"/>
      <c r="I15" s="7">
        <f>Table3[[#This Row],[Unit Price (Vendor Currency)]]*Table3[[#This Row],[Exchange Rate]]*Table3[[#This Row],[Quantity]]</f>
        <v>0</v>
      </c>
      <c r="J15" s="7"/>
      <c r="K15" s="7"/>
      <c r="L15" s="7"/>
      <c r="M15" s="12"/>
    </row>
    <row r="16" spans="1:13" ht="25.15" customHeight="1">
      <c r="A16" s="5">
        <v>20</v>
      </c>
      <c r="B16" s="9"/>
      <c r="C16" s="9"/>
      <c r="D16" s="9"/>
      <c r="E16" s="9"/>
      <c r="F16" s="9"/>
      <c r="G16" s="9">
        <f>_xlfn.XLOOKUP(Table3[[#This Row],[Currency (eg, USD, AUD, Euro)]],'Admin-Data'!$A$11:$A$15,'Admin-Data'!$B$11:$B$15,0)</f>
        <v>0</v>
      </c>
      <c r="H16" s="9"/>
      <c r="I16" s="9">
        <f>Table3[[#This Row],[Unit Price (Vendor Currency)]]*Table3[[#This Row],[Exchange Rate]]*Table3[[#This Row],[Quantity]]</f>
        <v>0</v>
      </c>
      <c r="J16" s="9"/>
      <c r="K16" s="9"/>
      <c r="L16" s="9"/>
      <c r="M16" s="12"/>
    </row>
    <row r="17" spans="1:13" ht="25.15" customHeight="1">
      <c r="A17" s="17" t="s">
        <v>24</v>
      </c>
      <c r="B17" s="18"/>
      <c r="C17" s="18"/>
      <c r="D17" s="18"/>
      <c r="E17" s="18"/>
      <c r="F17" s="18"/>
      <c r="G17" s="18"/>
      <c r="H17" s="19"/>
      <c r="I17" s="13">
        <f>SUM(Table3[Total Price (NZD)])</f>
        <v>48.713999999999999</v>
      </c>
      <c r="J17" s="20"/>
      <c r="K17" s="21"/>
      <c r="L17" s="21"/>
      <c r="M17" s="22"/>
    </row>
    <row r="18" spans="1:13" ht="25.15" customHeight="1"/>
    <row r="19" spans="1:13" ht="25.15" customHeight="1"/>
    <row r="20" spans="1:13" ht="25.15" customHeight="1"/>
    <row r="21" spans="1:13" ht="25.15" customHeight="1"/>
    <row r="22" spans="1:13" ht="25.15" customHeight="1"/>
    <row r="23" spans="1:13" ht="25.15" customHeight="1"/>
  </sheetData>
  <mergeCells count="2">
    <mergeCell ref="A17:H17"/>
    <mergeCell ref="J17:M17"/>
  </mergeCells>
  <phoneticPr fontId="5" type="noConversion"/>
  <dataValidations count="2">
    <dataValidation type="list" allowBlank="1" showInputMessage="1" showErrorMessage="1" sqref="K2:K4 K6:K16 K3" xr:uid="{00000000-0002-0000-0000-000001000000}">
      <formula1>"1WK, 2WK, 3Wk, 4WK"</formula1>
    </dataValidation>
    <dataValidation type="list" allowBlank="1" showInputMessage="1" showErrorMessage="1" sqref="J6:J16 J2:J4" xr:uid="{00000000-0002-0000-0000-000003000000}">
      <formula1>"Yes, No"</formula1>
    </dataValidation>
  </dataValidations>
  <hyperlinks>
    <hyperlink ref="M2" r:id="rId1" xr:uid="{00000000-0004-0000-0000-000000000000}"/>
    <hyperlink ref="M3" r:id="rId2" xr:uid="{00000000-0004-0000-0000-000004000000}"/>
  </hyperlinks>
  <printOptions horizontalCentered="1" verticalCentered="1"/>
  <pageMargins left="0.74803149606299202" right="0.74803149606299202" top="0.98425196850393704" bottom="0.98425196850393704" header="0.511811023622047" footer="0.511811023622047"/>
  <pageSetup paperSize="9" scale="53" orientation="landscape"/>
  <headerFooter alignWithMargins="0">
    <oddFooter>&amp;L&amp;P of &amp;N&amp;C&amp;F&amp;R&amp;D, &amp;T</oddFooter>
  </headerFooter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'Admin-Data'!$A$2:$A$8</xm:f>
          </x14:formula1>
          <xm:sqref>B6:B16 B2:B4</xm:sqref>
        </x14:dataValidation>
        <x14:dataValidation type="list" allowBlank="1" showInputMessage="1" showErrorMessage="1" xr:uid="{00000000-0002-0000-0000-000002000000}">
          <x14:formula1>
            <xm:f>'Admin-Data'!$A$11:$A$15</xm:f>
          </x14:formula1>
          <xm:sqref>E6:E16 E2:E4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E31" sqref="E30:E31"/>
    </sheetView>
  </sheetViews>
  <sheetFormatPr defaultColWidth="9" defaultRowHeight="12.75"/>
  <cols>
    <col min="1" max="3" width="16" customWidth="1"/>
  </cols>
  <sheetData>
    <row r="1" spans="1:2" ht="13.15">
      <c r="A1" s="1" t="s">
        <v>25</v>
      </c>
    </row>
    <row r="2" spans="1:2">
      <c r="A2" t="s">
        <v>13</v>
      </c>
    </row>
    <row r="3" spans="1:2">
      <c r="A3" t="s">
        <v>26</v>
      </c>
    </row>
    <row r="4" spans="1:2">
      <c r="A4" t="s">
        <v>27</v>
      </c>
    </row>
    <row r="5" spans="1:2">
      <c r="A5" t="s">
        <v>28</v>
      </c>
    </row>
    <row r="6" spans="1:2">
      <c r="A6" t="s">
        <v>29</v>
      </c>
    </row>
    <row r="7" spans="1:2">
      <c r="A7" t="s">
        <v>30</v>
      </c>
    </row>
    <row r="8" spans="1:2">
      <c r="A8" t="s">
        <v>31</v>
      </c>
    </row>
    <row r="10" spans="1:2" ht="13.15">
      <c r="A10" s="1" t="s">
        <v>32</v>
      </c>
      <c r="B10" s="1" t="s">
        <v>6</v>
      </c>
    </row>
    <row r="11" spans="1:2">
      <c r="A11" t="s">
        <v>16</v>
      </c>
      <c r="B11">
        <v>1</v>
      </c>
    </row>
    <row r="12" spans="1:2">
      <c r="A12" t="s">
        <v>33</v>
      </c>
      <c r="B12">
        <v>1.25</v>
      </c>
    </row>
    <row r="13" spans="1:2">
      <c r="A13" t="s">
        <v>34</v>
      </c>
      <c r="B13">
        <v>1.75</v>
      </c>
    </row>
    <row r="14" spans="1:2">
      <c r="A14" t="s">
        <v>35</v>
      </c>
      <c r="B14">
        <v>2.0499999999999998</v>
      </c>
    </row>
    <row r="15" spans="1:2">
      <c r="A15" t="s">
        <v>36</v>
      </c>
      <c r="B15">
        <v>0.25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1f7681-202e-4e21-94f1-d0b3f0bcb11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4658A1D79CDA488E8ABC8574DF584C" ma:contentTypeVersion="10" ma:contentTypeDescription="Create a new document." ma:contentTypeScope="" ma:versionID="b1a1c88b4e605f4cb2a4b8221193c60d">
  <xsd:schema xmlns:xsd="http://www.w3.org/2001/XMLSchema" xmlns:xs="http://www.w3.org/2001/XMLSchema" xmlns:p="http://schemas.microsoft.com/office/2006/metadata/properties" xmlns:ns3="af1f7681-202e-4e21-94f1-d0b3f0bcb11a" targetNamespace="http://schemas.microsoft.com/office/2006/metadata/properties" ma:root="true" ma:fieldsID="ab7185b3aca952d75d6549be14918091" ns3:_="">
    <xsd:import namespace="af1f7681-202e-4e21-94f1-d0b3f0bcb11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1f7681-202e-4e21-94f1-d0b3f0bcb11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A27127-0535-4D25-8C82-30F5CB7F945E}"/>
</file>

<file path=customXml/itemProps2.xml><?xml version="1.0" encoding="utf-8"?>
<ds:datastoreItem xmlns:ds="http://schemas.openxmlformats.org/officeDocument/2006/customXml" ds:itemID="{DBEB850C-B679-4FC9-A948-B84297E99ABA}"/>
</file>

<file path=customXml/itemProps3.xml><?xml version="1.0" encoding="utf-8"?>
<ds:datastoreItem xmlns:ds="http://schemas.openxmlformats.org/officeDocument/2006/customXml" ds:itemID="{91487CE1-A6D9-4046-88B9-0C2FBC0E3259}"/>
</file>

<file path=customXml/itemProps4.xml><?xml version="1.0" encoding="utf-8"?>
<ds:datastoreItem xmlns:ds="http://schemas.openxmlformats.org/officeDocument/2006/customXml" ds:itemID="{08AC77B0-A085-4B1A-A13B-42C77AF744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Electrical &amp; Computer Engineering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Rowan Grönlund</dc:creator>
  <cp:keywords/>
  <dc:description/>
  <cp:lastModifiedBy/>
  <cp:revision/>
  <dcterms:created xsi:type="dcterms:W3CDTF">2004-05-05T23:15:00Z</dcterms:created>
  <dcterms:modified xsi:type="dcterms:W3CDTF">2026-06-10T06:04:50Z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0x010100BE4658A1D79CDA488E8ABC8574DF584C</vt:lpwstr>
  </property>
  <property fmtid="{D5CDD505-2E9C-101B-9397-08002B2CF9AE}" pid="3" name="ICV">
    <vt:lpwstr>5D02DDCCE15E402785F1BD95E29B7DBF_13</vt:lpwstr>
  </property>
  <property fmtid="{D5CDD505-2E9C-101B-9397-08002B2CF9AE}" pid="4" name="KSOProductBuildVer">
    <vt:lpwstr>1033-12.2.0.23202</vt:lpwstr>
  </property>
</Properties>
</file>